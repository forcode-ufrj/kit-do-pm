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va das Atividade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'Estimativa das Atividades'!$A$1:$L$52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9.5"/>
    </font>
    <font>
      <name val="Lexend"/>
      <color rgb="00614AD3"/>
      <sz val="8"/>
    </font>
    <font>
      <name val="Lexend SemiBold"/>
      <color rgb="00614AD3"/>
      <sz val="10"/>
    </font>
    <font>
      <name val="Lexend SemiBold"/>
      <color rgb="00FFFF00"/>
      <sz val="10.5"/>
    </font>
    <font>
      <name val="Lexend"/>
      <color rgb="00FFFFFF"/>
      <sz val="18"/>
    </font>
    <font>
      <name val="Lexend"/>
      <color rgb="00614AD3"/>
      <sz val="10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left" vertical="top" wrapText="1"/>
    </xf>
    <xf numFmtId="164" fontId="12" fillId="3" borderId="2" applyAlignment="1" pivotButton="0" quotePrefix="0" xfId="0">
      <alignment horizontal="left" vertical="top" wrapText="1"/>
    </xf>
    <xf numFmtId="2" fontId="12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164" fontId="13" fillId="3" borderId="2" applyAlignment="1" pivotButton="0" quotePrefix="0" xfId="0">
      <alignment horizontal="left" vertical="center" wrapText="1"/>
    </xf>
    <xf numFmtId="2" fontId="13" fillId="3" borderId="2" applyAlignment="1" pivotButton="0" quotePrefix="0" xfId="0">
      <alignment horizontal="left" vertical="center" wrapText="1"/>
    </xf>
    <xf numFmtId="0" fontId="14" fillId="3" borderId="0" pivotButton="0" quotePrefix="0" xfId="0"/>
    <xf numFmtId="0" fontId="15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Q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.4717" customWidth="1" min="2" max="2"/>
    <col width="48.8679" customWidth="1" min="3" max="3"/>
    <col width="13.9623" customWidth="1" min="4" max="4"/>
    <col width="10.4717" customWidth="1" min="5" max="5"/>
    <col width="10.4717" customWidth="1" min="6" max="6"/>
    <col width="10.4717" customWidth="1" min="7" max="7"/>
    <col width="12.217" customWidth="1" min="8" max="8"/>
    <col width="12.217" customWidth="1" min="9" max="9"/>
    <col width="27.9245" customWidth="1" min="10" max="10"/>
    <col width="27.9245" customWidth="1" min="11" max="1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Estimativa das Atividades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" t="inlineStr">
        <is>
          <t>Quanto cada atividade deve durar — com a incerteza à vista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17 · Planejamento · PMBOK: 6.4 Estimar as Durações das Atividades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6" t="inlineStr">
        <is>
          <t>Quem vai executar estima; a gerência revisa. Use três cenários por atividade: otimista (O), mais provável (M) e pessimista (P).  Manual de preenchimento: manual 17_estimativa_das_atividades.pdf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1" t="n"/>
      <c r="M10" s="1" t="n"/>
      <c r="N10" s="1" t="n"/>
      <c r="O10" s="1" t="n"/>
      <c r="P10" s="1" t="n"/>
      <c r="Q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9" t="n"/>
      <c r="L11" s="1" t="n"/>
      <c r="M11" s="1" t="n"/>
      <c r="N11" s="1" t="n"/>
      <c r="O11" s="1" t="n"/>
      <c r="P11" s="1" t="n"/>
      <c r="Q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1" t="n"/>
      <c r="M12" s="1" t="n"/>
      <c r="N12" s="1" t="n"/>
      <c r="O12" s="1" t="n"/>
      <c r="P12" s="1" t="n"/>
      <c r="Q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9" t="n"/>
      <c r="L13" s="1" t="n"/>
      <c r="M13" s="1" t="n"/>
      <c r="N13" s="1" t="n"/>
      <c r="O13" s="1" t="n"/>
      <c r="P13" s="1" t="n"/>
      <c r="Q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1" t="inlineStr">
        <is>
          <t>Vem de</t>
        </is>
      </c>
      <c r="C16" s="4" t="inlineStr">
        <is>
          <t>13 Lista de Atividades · 16 Requisitos e Calendário de Recursos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1" t="inlineStr">
        <is>
          <t>Alimenta</t>
        </is>
      </c>
      <c r="C17" s="4" t="inlineStr">
        <is>
          <t>18 Diagrama de Rede · 19 Cronograma do Projeto · 21 Registro de Riscos · 22 Planilha de Custos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6" customHeight="1">
      <c r="A19" s="1" t="n"/>
      <c r="B19" s="7" t="inlineStr">
        <is>
          <t>📐 Técnica: três pontos (PERT)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2" t="inlineStr">
        <is>
          <t>Medida</t>
        </is>
      </c>
      <c r="C20" s="12" t="inlineStr">
        <is>
          <t>Fórmula</t>
        </is>
      </c>
      <c r="D20" s="13" t="n"/>
      <c r="E20" s="12" t="inlineStr">
        <is>
          <t>O que significa</t>
        </is>
      </c>
      <c r="F20" s="13" t="n"/>
      <c r="G20" s="13" t="n"/>
      <c r="H20" s="13" t="n"/>
      <c r="I20" s="13" t="n"/>
      <c r="J20" s="13" t="n"/>
      <c r="K20" s="13" t="n"/>
      <c r="L20" s="1" t="n"/>
      <c r="M20" s="1" t="n"/>
      <c r="N20" s="1" t="n"/>
      <c r="O20" s="1" t="n"/>
      <c r="P20" s="1" t="n"/>
      <c r="Q20" s="1" t="n"/>
    </row>
    <row r="21" ht="42" customHeight="1">
      <c r="A21" s="1" t="n"/>
      <c r="B21" s="14" t="inlineStr">
        <is>
          <t>Estimativa esperada (E)</t>
        </is>
      </c>
      <c r="C21" s="14" t="inlineStr">
        <is>
          <t>(O + 4M + P) ÷ 6</t>
        </is>
      </c>
      <c r="D21" s="9" t="n"/>
      <c r="E21" s="14" t="inlineStr">
        <is>
          <t>Média ponderada: o cenário mais provável pesa quatro vezes</t>
        </is>
      </c>
      <c r="F21" s="9" t="n"/>
      <c r="G21" s="9" t="n"/>
      <c r="H21" s="9" t="n"/>
      <c r="I21" s="9" t="n"/>
      <c r="J21" s="9" t="n"/>
      <c r="K21" s="9" t="n"/>
      <c r="L21" s="1" t="n"/>
      <c r="M21" s="1" t="n"/>
      <c r="N21" s="1" t="n"/>
      <c r="O21" s="1" t="n"/>
      <c r="P21" s="1" t="n"/>
      <c r="Q21" s="1" t="n"/>
    </row>
    <row r="22" ht="28" customHeight="1">
      <c r="A22" s="1" t="n"/>
      <c r="B22" s="14" t="inlineStr">
        <is>
          <t>Desvio-padrão (σ)</t>
        </is>
      </c>
      <c r="C22" s="14" t="inlineStr">
        <is>
          <t>(P − O) ÷ 6</t>
        </is>
      </c>
      <c r="D22" s="9" t="n"/>
      <c r="E22" s="14" t="inlineStr">
        <is>
          <t>Quanto a atividade é imprevisível</t>
        </is>
      </c>
      <c r="F22" s="9" t="n"/>
      <c r="G22" s="9" t="n"/>
      <c r="H22" s="9" t="n"/>
      <c r="I22" s="9" t="n"/>
      <c r="J22" s="9" t="n"/>
      <c r="K22" s="9" t="n"/>
      <c r="L22" s="1" t="n"/>
      <c r="M22" s="1" t="n"/>
      <c r="N22" s="1" t="n"/>
      <c r="O22" s="1" t="n"/>
      <c r="P22" s="1" t="n"/>
      <c r="Q22" s="1" t="n"/>
    </row>
    <row r="23" ht="28" customHeight="1">
      <c r="A23" s="1" t="n"/>
      <c r="B23" s="14" t="inlineStr">
        <is>
          <t>σ do projeto</t>
        </is>
      </c>
      <c r="C23" s="14" t="inlineStr">
        <is>
          <t>√(σ₁² + σ₂² + …)</t>
        </is>
      </c>
      <c r="D23" s="9" t="n"/>
      <c r="E23" s="14" t="inlineStr">
        <is>
          <t>Some as variâncias, não os desvios</t>
        </is>
      </c>
      <c r="F23" s="9" t="n"/>
      <c r="G23" s="9" t="n"/>
      <c r="H23" s="9" t="n"/>
      <c r="I23" s="9" t="n"/>
      <c r="J23" s="9" t="n"/>
      <c r="K23" s="9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26" customHeight="1">
      <c r="A25" s="1" t="n"/>
      <c r="B25" s="7" t="inlineStr">
        <is>
          <t>⏱️ Estimativas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30" customHeight="1">
      <c r="A26" s="1" t="n"/>
      <c r="B26" s="12" t="inlineStr">
        <is>
          <t>ID</t>
        </is>
      </c>
      <c r="C26" s="12" t="inlineStr">
        <is>
          <t>Atividade</t>
        </is>
      </c>
      <c r="D26" s="12" t="inlineStr">
        <is>
          <t>Unidade</t>
        </is>
      </c>
      <c r="E26" s="12" t="inlineStr">
        <is>
          <t>O</t>
        </is>
      </c>
      <c r="F26" s="12" t="inlineStr">
        <is>
          <t>M</t>
        </is>
      </c>
      <c r="G26" s="12" t="inlineStr">
        <is>
          <t>P</t>
        </is>
      </c>
      <c r="H26" s="12" t="inlineStr">
        <is>
          <t>E</t>
        </is>
      </c>
      <c r="I26" s="12" t="inlineStr">
        <is>
          <t>σ</t>
        </is>
      </c>
      <c r="J26" s="12" t="inlineStr">
        <is>
          <t>Base da estimativa</t>
        </is>
      </c>
      <c r="K26" s="12" t="inlineStr">
        <is>
          <t>Premissas</t>
        </is>
      </c>
      <c r="L26" s="1" t="n"/>
      <c r="M26" s="1" t="n"/>
      <c r="N26" s="1" t="n"/>
      <c r="O26" s="1" t="n"/>
      <c r="P26" s="1" t="n"/>
      <c r="Q26" s="1" t="n"/>
    </row>
    <row r="27" ht="24" customHeight="1">
      <c r="A27" s="1" t="n"/>
      <c r="B27" s="15" t="inlineStr"/>
      <c r="C27" s="15" t="inlineStr"/>
      <c r="D27" s="15" t="inlineStr"/>
      <c r="E27" s="15" t="inlineStr">
        <is>
          <t>otimista</t>
        </is>
      </c>
      <c r="F27" s="15" t="inlineStr">
        <is>
          <t>provável</t>
        </is>
      </c>
      <c r="G27" s="15" t="inlineStr">
        <is>
          <t>pessimista</t>
        </is>
      </c>
      <c r="H27" s="15" t="inlineStr"/>
      <c r="I27" s="15" t="inlineStr"/>
      <c r="J27" s="15" t="inlineStr"/>
      <c r="K27" s="15" t="inlineStr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0" t="n"/>
      <c r="C28" s="10" t="n"/>
      <c r="D28" s="10" t="n"/>
      <c r="E28" s="10" t="n"/>
      <c r="F28" s="10" t="n"/>
      <c r="G28" s="10" t="n"/>
      <c r="H28" s="16">
        <f>IF(OR(E28="",F28="",G28=""),"",ROUND((E28+4*F28+G28)/6,1))</f>
        <v/>
      </c>
      <c r="I28" s="17">
        <f>IF(OR(E28="",G28=""),"",ROUND((G28-E28)/6,2))</f>
        <v/>
      </c>
      <c r="J28" s="10" t="n"/>
      <c r="K28" s="10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0" t="n"/>
      <c r="C29" s="10" t="n"/>
      <c r="D29" s="10" t="n"/>
      <c r="E29" s="10" t="n"/>
      <c r="F29" s="10" t="n"/>
      <c r="G29" s="10" t="n"/>
      <c r="H29" s="16">
        <f>IF(OR(E29="",F29="",G29=""),"",ROUND((E29+4*F29+G29)/6,1))</f>
        <v/>
      </c>
      <c r="I29" s="17">
        <f>IF(OR(E29="",G29=""),"",ROUND((G29-E29)/6,2))</f>
        <v/>
      </c>
      <c r="J29" s="10" t="n"/>
      <c r="K29" s="10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0" t="n"/>
      <c r="C30" s="10" t="n"/>
      <c r="D30" s="10" t="n"/>
      <c r="E30" s="10" t="n"/>
      <c r="F30" s="10" t="n"/>
      <c r="G30" s="10" t="n"/>
      <c r="H30" s="16">
        <f>IF(OR(E30="",F30="",G30=""),"",ROUND((E30+4*F30+G30)/6,1))</f>
        <v/>
      </c>
      <c r="I30" s="17">
        <f>IF(OR(E30="",G30=""),"",ROUND((G30-E30)/6,2))</f>
        <v/>
      </c>
      <c r="J30" s="10" t="n"/>
      <c r="K30" s="10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0" t="n"/>
      <c r="C31" s="10" t="n"/>
      <c r="D31" s="10" t="n"/>
      <c r="E31" s="10" t="n"/>
      <c r="F31" s="10" t="n"/>
      <c r="G31" s="10" t="n"/>
      <c r="H31" s="16">
        <f>IF(OR(E31="",F31="",G31=""),"",ROUND((E31+4*F31+G31)/6,1))</f>
        <v/>
      </c>
      <c r="I31" s="17">
        <f>IF(OR(E31="",G31=""),"",ROUND((G31-E31)/6,2))</f>
        <v/>
      </c>
      <c r="J31" s="10" t="n"/>
      <c r="K31" s="10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0" t="n"/>
      <c r="C32" s="10" t="n"/>
      <c r="D32" s="10" t="n"/>
      <c r="E32" s="10" t="n"/>
      <c r="F32" s="10" t="n"/>
      <c r="G32" s="10" t="n"/>
      <c r="H32" s="16">
        <f>IF(OR(E32="",F32="",G32=""),"",ROUND((E32+4*F32+G32)/6,1))</f>
        <v/>
      </c>
      <c r="I32" s="17">
        <f>IF(OR(E32="",G32=""),"",ROUND((G32-E32)/6,2))</f>
        <v/>
      </c>
      <c r="J32" s="10" t="n"/>
      <c r="K32" s="10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0" t="n"/>
      <c r="C33" s="10" t="n"/>
      <c r="D33" s="10" t="n"/>
      <c r="E33" s="10" t="n"/>
      <c r="F33" s="10" t="n"/>
      <c r="G33" s="10" t="n"/>
      <c r="H33" s="16">
        <f>IF(OR(E33="",F33="",G33=""),"",ROUND((E33+4*F33+G33)/6,1))</f>
        <v/>
      </c>
      <c r="I33" s="17">
        <f>IF(OR(E33="",G33=""),"",ROUND((G33-E33)/6,2))</f>
        <v/>
      </c>
      <c r="J33" s="10" t="n"/>
      <c r="K33" s="10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0" t="n"/>
      <c r="C34" s="10" t="n"/>
      <c r="D34" s="10" t="n"/>
      <c r="E34" s="10" t="n"/>
      <c r="F34" s="10" t="n"/>
      <c r="G34" s="10" t="n"/>
      <c r="H34" s="16">
        <f>IF(OR(E34="",F34="",G34=""),"",ROUND((E34+4*F34+G34)/6,1))</f>
        <v/>
      </c>
      <c r="I34" s="17">
        <f>IF(OR(E34="",G34=""),"",ROUND((G34-E34)/6,2))</f>
        <v/>
      </c>
      <c r="J34" s="10" t="n"/>
      <c r="K34" s="10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0" t="n"/>
      <c r="C35" s="10" t="n"/>
      <c r="D35" s="10" t="n"/>
      <c r="E35" s="10" t="n"/>
      <c r="F35" s="10" t="n"/>
      <c r="G35" s="10" t="n"/>
      <c r="H35" s="16">
        <f>IF(OR(E35="",F35="",G35=""),"",ROUND((E35+4*F35+G35)/6,1))</f>
        <v/>
      </c>
      <c r="I35" s="17">
        <f>IF(OR(E35="",G35=""),"",ROUND((G35-E35)/6,2))</f>
        <v/>
      </c>
      <c r="J35" s="10" t="n"/>
      <c r="K35" s="10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0" t="n"/>
      <c r="C36" s="10" t="n"/>
      <c r="D36" s="10" t="n"/>
      <c r="E36" s="10" t="n"/>
      <c r="F36" s="10" t="n"/>
      <c r="G36" s="10" t="n"/>
      <c r="H36" s="16">
        <f>IF(OR(E36="",F36="",G36=""),"",ROUND((E36+4*F36+G36)/6,1))</f>
        <v/>
      </c>
      <c r="I36" s="17">
        <f>IF(OR(E36="",G36=""),"",ROUND((G36-E36)/6,2))</f>
        <v/>
      </c>
      <c r="J36" s="10" t="n"/>
      <c r="K36" s="10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0" t="n"/>
      <c r="C37" s="10" t="n"/>
      <c r="D37" s="10" t="n"/>
      <c r="E37" s="10" t="n"/>
      <c r="F37" s="10" t="n"/>
      <c r="G37" s="10" t="n"/>
      <c r="H37" s="16">
        <f>IF(OR(E37="",F37="",G37=""),"",ROUND((E37+4*F37+G37)/6,1))</f>
        <v/>
      </c>
      <c r="I37" s="17">
        <f>IF(OR(E37="",G37=""),"",ROUND((G37-E37)/6,2))</f>
        <v/>
      </c>
      <c r="J37" s="10" t="n"/>
      <c r="K37" s="10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0" t="n"/>
      <c r="C38" s="10" t="n"/>
      <c r="D38" s="10" t="n"/>
      <c r="E38" s="10" t="n"/>
      <c r="F38" s="10" t="n"/>
      <c r="G38" s="10" t="n"/>
      <c r="H38" s="16">
        <f>IF(OR(E38="",F38="",G38=""),"",ROUND((E38+4*F38+G38)/6,1))</f>
        <v/>
      </c>
      <c r="I38" s="17">
        <f>IF(OR(E38="",G38=""),"",ROUND((G38-E38)/6,2))</f>
        <v/>
      </c>
      <c r="J38" s="10" t="n"/>
      <c r="K38" s="10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0" t="n"/>
      <c r="C39" s="10" t="n"/>
      <c r="D39" s="10" t="n"/>
      <c r="E39" s="10" t="n"/>
      <c r="F39" s="10" t="n"/>
      <c r="G39" s="10" t="n"/>
      <c r="H39" s="16">
        <f>IF(OR(E39="",F39="",G39=""),"",ROUND((E39+4*F39+G39)/6,1))</f>
        <v/>
      </c>
      <c r="I39" s="17">
        <f>IF(OR(E39="",G39=""),"",ROUND((G39-E39)/6,2))</f>
        <v/>
      </c>
      <c r="J39" s="10" t="n"/>
      <c r="K39" s="10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10" t="n"/>
      <c r="C40" s="10" t="n"/>
      <c r="D40" s="10" t="n"/>
      <c r="E40" s="10" t="n"/>
      <c r="F40" s="10" t="n"/>
      <c r="G40" s="10" t="n"/>
      <c r="H40" s="16">
        <f>IF(OR(E40="",F40="",G40=""),"",ROUND((E40+4*F40+G40)/6,1))</f>
        <v/>
      </c>
      <c r="I40" s="17">
        <f>IF(OR(E40="",G40=""),"",ROUND((G40-E40)/6,2))</f>
        <v/>
      </c>
      <c r="J40" s="10" t="n"/>
      <c r="K40" s="10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10" t="n"/>
      <c r="C41" s="10" t="n"/>
      <c r="D41" s="10" t="n"/>
      <c r="E41" s="10" t="n"/>
      <c r="F41" s="10" t="n"/>
      <c r="G41" s="10" t="n"/>
      <c r="H41" s="16">
        <f>IF(OR(E41="",F41="",G41=""),"",ROUND((E41+4*F41+G41)/6,1))</f>
        <v/>
      </c>
      <c r="I41" s="17">
        <f>IF(OR(E41="",G41=""),"",ROUND((G41-E41)/6,2))</f>
        <v/>
      </c>
      <c r="J41" s="10" t="n"/>
      <c r="K41" s="10" t="n"/>
      <c r="L41" s="1" t="n"/>
      <c r="M41" s="1" t="n"/>
      <c r="N41" s="1" t="n"/>
      <c r="O41" s="1" t="n"/>
      <c r="P41" s="1" t="n"/>
      <c r="Q41" s="1" t="n"/>
    </row>
    <row r="42" ht="22" customHeight="1">
      <c r="A42" s="1" t="n"/>
      <c r="B42" s="18" t="inlineStr">
        <is>
          <t>Total do projeto (E) e σ do projeto</t>
        </is>
      </c>
      <c r="C42" s="9" t="n"/>
      <c r="D42" s="9" t="n"/>
      <c r="E42" s="9" t="n"/>
      <c r="F42" s="19">
        <f>SUM(F28:F41)</f>
        <v/>
      </c>
      <c r="G42" s="9" t="n"/>
      <c r="H42" s="20">
        <f>SUM(H28:H41)</f>
        <v/>
      </c>
      <c r="I42" s="21">
        <f>ROUND(SQRT(SUMSQ(I28:I41)),2)</f>
        <v/>
      </c>
      <c r="J42" s="9" t="n"/>
      <c r="K42" s="9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36" customHeight="1">
      <c r="A44" s="1" t="n"/>
      <c r="B44" s="8" t="inlineStr">
        <is>
          <r>
            <rPr>
              <rFont val="Lexend SemiBold"/>
              <color rgb="00FFFFFF"/>
              <sz val="10"/>
            </rPr>
            <t>Reserva recomendada</t>
          </r>
          <r>
            <rPr>
              <rFont val="Lexend"/>
              <color rgb="00614AD3"/>
              <sz val="8"/>
            </rPr>
            <t xml:space="preserve">
Ex.: (E − M) + 2σ — explique a regra usada</t>
          </r>
        </is>
      </c>
      <c r="C44" s="9" t="n"/>
      <c r="D44" s="10" t="n"/>
      <c r="E44" s="9" t="n"/>
      <c r="F44" s="9" t="n"/>
      <c r="G44" s="9" t="n"/>
      <c r="H44" s="9" t="n"/>
      <c r="I44" s="9" t="n"/>
      <c r="J44" s="9" t="n"/>
      <c r="K44" s="9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26" customHeight="1">
      <c r="A46" s="1" t="n"/>
      <c r="B46" s="7" t="inlineStr">
        <is>
          <t>🗂️ Histórico de versões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30" customHeight="1">
      <c r="A47" s="1" t="n"/>
      <c r="B47" s="12" t="inlineStr">
        <is>
          <t>Versão</t>
        </is>
      </c>
      <c r="C47" s="12" t="inlineStr">
        <is>
          <t>Data</t>
        </is>
      </c>
      <c r="D47" s="12" t="inlineStr">
        <is>
          <t>Autoria</t>
        </is>
      </c>
      <c r="E47" s="13" t="n"/>
      <c r="F47" s="12" t="inlineStr">
        <is>
          <t>O que mudou</t>
        </is>
      </c>
      <c r="G47" s="13" t="n"/>
      <c r="H47" s="13" t="n"/>
      <c r="I47" s="13" t="n"/>
      <c r="J47" s="13" t="n"/>
      <c r="K47" s="13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0" t="n"/>
      <c r="C48" s="10" t="n"/>
      <c r="D48" s="10" t="n"/>
      <c r="E48" s="9" t="n"/>
      <c r="F48" s="10" t="n"/>
      <c r="G48" s="9" t="n"/>
      <c r="H48" s="9" t="n"/>
      <c r="I48" s="9" t="n"/>
      <c r="J48" s="9" t="n"/>
      <c r="K48" s="9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0" t="n"/>
      <c r="C49" s="10" t="n"/>
      <c r="D49" s="10" t="n"/>
      <c r="E49" s="9" t="n"/>
      <c r="F49" s="10" t="n"/>
      <c r="G49" s="9" t="n"/>
      <c r="H49" s="9" t="n"/>
      <c r="I49" s="9" t="n"/>
      <c r="J49" s="9" t="n"/>
      <c r="K49" s="9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0" t="n"/>
      <c r="C50" s="10" t="n"/>
      <c r="D50" s="10" t="n"/>
      <c r="E50" s="9" t="n"/>
      <c r="F50" s="10" t="n"/>
      <c r="G50" s="9" t="n"/>
      <c r="H50" s="9" t="n"/>
      <c r="I50" s="9" t="n"/>
      <c r="J50" s="9" t="n"/>
      <c r="K50" s="9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</sheetData>
  <mergeCells count="40">
    <mergeCell ref="C16:K16"/>
    <mergeCell ref="D44:K44"/>
    <mergeCell ref="B9:K9"/>
    <mergeCell ref="D10:K10"/>
    <mergeCell ref="F50:K50"/>
    <mergeCell ref="B6:K6"/>
    <mergeCell ref="B5:K5"/>
    <mergeCell ref="B12:C12"/>
    <mergeCell ref="C20:D20"/>
    <mergeCell ref="F47:K47"/>
    <mergeCell ref="E22:K22"/>
    <mergeCell ref="B4:K4"/>
    <mergeCell ref="B11:C11"/>
    <mergeCell ref="D49:E49"/>
    <mergeCell ref="D11:K11"/>
    <mergeCell ref="E21:K21"/>
    <mergeCell ref="B7:K7"/>
    <mergeCell ref="D13:K13"/>
    <mergeCell ref="B14:C14"/>
    <mergeCell ref="C17:K17"/>
    <mergeCell ref="C22:D22"/>
    <mergeCell ref="B25:K25"/>
    <mergeCell ref="D48:E48"/>
    <mergeCell ref="F48:K48"/>
    <mergeCell ref="B3:K3"/>
    <mergeCell ref="B13:C13"/>
    <mergeCell ref="E23:K23"/>
    <mergeCell ref="D47:E47"/>
    <mergeCell ref="B44:C44"/>
    <mergeCell ref="B46:K46"/>
    <mergeCell ref="C21:D21"/>
    <mergeCell ref="F49:K49"/>
    <mergeCell ref="B10:C10"/>
    <mergeCell ref="E20:K20"/>
    <mergeCell ref="C23:D23"/>
    <mergeCell ref="B42:E42"/>
    <mergeCell ref="D12:K12"/>
    <mergeCell ref="D14:K14"/>
    <mergeCell ref="D50:E50"/>
    <mergeCell ref="B19:K19"/>
  </mergeCells>
  <dataValidations count="2">
    <dataValidation sqref="D28:D41" showDropDown="0" showInputMessage="0" showErrorMessage="1" allowBlank="1" errorTitle="Valor fora da escala" error="Escolha um valor da lista: horas,dias úteis" type="list">
      <formula1>"horas,dias úteis"</formula1>
    </dataValidation>
    <dataValidation sqref="J28:J41" showDropDown="0" showInputMessage="0" showErrorMessage="1" allowBlank="1" errorTitle="Valor fora da escala" error="Escolha um valor da lista: Histórico,Analogia,Opinião especializada,Paramétrica" type="list">
      <formula1>"Histórico,Analogia,Opinião especializada,Paramétrica"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22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3" t="inlineStr">
        <is>
          <t>Estimativa das Atividades · manual completo: manual 17_estimativa_das_atividades.pdf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4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4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4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4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4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4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5" t="inlineStr">
        <is>
          <t>Seção</t>
        </is>
      </c>
      <c r="C13" s="25" t="inlineStr">
        <is>
          <t>Campo / coluna</t>
        </is>
      </c>
      <c r="D13" s="25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4" t="inlineStr">
        <is>
          <t>Identificação</t>
        </is>
      </c>
      <c r="C14" s="26" t="inlineStr">
        <is>
          <t>Código do projeto</t>
        </is>
      </c>
      <c r="D14" s="14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4" t="inlineStr">
        <is>
          <t>Identificação</t>
        </is>
      </c>
      <c r="C15" s="26" t="inlineStr">
        <is>
          <t>Gerente do projeto</t>
        </is>
      </c>
      <c r="D15" s="14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4" t="inlineStr">
        <is>
          <t>Identificação</t>
        </is>
      </c>
      <c r="C16" s="26" t="inlineStr">
        <is>
          <t>Versão do documento</t>
        </is>
      </c>
      <c r="D16" s="14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4" t="inlineStr">
        <is>
          <t>Identificação</t>
        </is>
      </c>
      <c r="C17" s="26" t="inlineStr">
        <is>
          <t>Data</t>
        </is>
      </c>
      <c r="D17" s="14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4" t="inlineStr">
        <is>
          <t>Estimativas</t>
        </is>
      </c>
      <c r="C18" s="26" t="inlineStr">
        <is>
          <t>O</t>
        </is>
      </c>
      <c r="D18" s="14" t="inlineStr">
        <is>
          <t>otimista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4" t="inlineStr">
        <is>
          <t>Estimativas</t>
        </is>
      </c>
      <c r="C19" s="26" t="inlineStr">
        <is>
          <t>M</t>
        </is>
      </c>
      <c r="D19" s="14" t="inlineStr">
        <is>
          <t>provável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4" t="inlineStr">
        <is>
          <t>Estimativas</t>
        </is>
      </c>
      <c r="C20" s="26" t="inlineStr">
        <is>
          <t>P</t>
        </is>
      </c>
      <c r="D20" s="14" t="inlineStr">
        <is>
          <t>pessimista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4" t="inlineStr">
        <is>
          <t>Estimativas</t>
        </is>
      </c>
      <c r="C21" s="26" t="inlineStr">
        <is>
          <t>Reserva recomendada</t>
        </is>
      </c>
      <c r="D21" s="14" t="inlineStr">
        <is>
          <t>Ex.: (E − M) + 2σ — explique a regra usada</t>
        </is>
      </c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Estimativa das Atividades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