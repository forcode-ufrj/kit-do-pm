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rama de Rede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'Diagrama de Rede'!$A$1:$O$48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"/>
      <color rgb="00614AD3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 SemiBold"/>
      <color rgb="00614AD3"/>
      <sz val="10"/>
    </font>
    <font>
      <name val="Lexend SemiBold"/>
      <color rgb="00FFFF00"/>
      <sz val="12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left" vertical="center" wrapText="1"/>
    </xf>
    <xf numFmtId="0" fontId="7" fillId="2" borderId="2" pivotButton="0" quotePrefix="0" xfId="0"/>
    <xf numFmtId="0" fontId="14" fillId="3" borderId="0" pivotButton="0" quotePrefix="0" xfId="0"/>
    <xf numFmtId="0" fontId="15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6" fillId="3" borderId="2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b val="1"/>
        <color rgb="00FFFF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T8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.1962" customWidth="1" min="2" max="2"/>
    <col width="14.1627" customWidth="1" min="3" max="3"/>
    <col width="46.0287" customWidth="1" min="4" max="4"/>
    <col width="14.1627" customWidth="1" min="5" max="5"/>
    <col width="12.3923" customWidth="1" min="6" max="6"/>
    <col width="12.3923" customWidth="1" min="7" max="7"/>
    <col width="12.3923" customWidth="1" min="8" max="8"/>
    <col width="10.622" customWidth="1" min="9" max="9"/>
    <col width="10.622" customWidth="1" min="10" max="10"/>
    <col width="10.622" customWidth="1" min="11" max="11"/>
    <col width="10.622" customWidth="1" min="12" max="12"/>
    <col width="10.622" customWidth="1" min="13" max="13"/>
    <col width="14.1627" customWidth="1" min="14" max="1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Diagrama de Rede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20" customHeight="1">
      <c r="A4" s="1" t="n"/>
      <c r="B4" s="3" t="inlineStr">
        <is>
          <t>Sequencia as atividades e revela o caminho crítico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18 · Planejamento · PMBOK: 6.3 Sequenciar as Atividades · CPM (6.5)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30" customHeight="1">
      <c r="A7" s="1" t="n"/>
      <c r="B7" s="6" t="inlineStr">
        <is>
          <t>Depois das estimativas. Liste as atividades de modo que as predecessoras venham antes; o caminho crítico é a sequência com folga zero.  Manual de preenchimento: manual 18_diagrama_de_rede.pdf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9" t="n"/>
      <c r="E10" s="10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1" t="n"/>
      <c r="P10" s="1" t="n"/>
      <c r="Q10" s="1" t="n"/>
      <c r="R10" s="1" t="n"/>
      <c r="S10" s="1" t="n"/>
      <c r="T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9" t="n"/>
      <c r="E11" s="10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1" t="n"/>
      <c r="P11" s="1" t="n"/>
      <c r="Q11" s="1" t="n"/>
      <c r="R11" s="1" t="n"/>
      <c r="S11" s="1" t="n"/>
      <c r="T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9" t="n"/>
      <c r="E12" s="10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1" t="n"/>
      <c r="P12" s="1" t="n"/>
      <c r="Q12" s="1" t="n"/>
      <c r="R12" s="1" t="n"/>
      <c r="S12" s="1" t="n"/>
      <c r="T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9" t="n"/>
      <c r="E13" s="10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1" t="n"/>
      <c r="P13" s="1" t="n"/>
      <c r="Q13" s="1" t="n"/>
      <c r="R13" s="1" t="n"/>
      <c r="S13" s="1" t="n"/>
      <c r="T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9" t="n"/>
      <c r="E14" s="10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1" t="n"/>
      <c r="P14" s="1" t="n"/>
      <c r="Q14" s="1" t="n"/>
      <c r="R14" s="1" t="n"/>
      <c r="S14" s="1" t="n"/>
      <c r="T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18" customHeight="1">
      <c r="A16" s="1" t="n"/>
      <c r="B16" s="11" t="inlineStr">
        <is>
          <t>Vem de</t>
        </is>
      </c>
      <c r="C16" s="1" t="n"/>
      <c r="D16" s="4" t="inlineStr">
        <is>
          <t>13 Lista de Atividades · 14 Lista de Marcos · 17 Estimativa das Atividades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 ht="18" customHeight="1">
      <c r="A17" s="1" t="n"/>
      <c r="B17" s="11" t="inlineStr">
        <is>
          <t>Alimenta</t>
        </is>
      </c>
      <c r="C17" s="1" t="n"/>
      <c r="D17" s="4" t="inlineStr">
        <is>
          <t>19 Cronograma do Projeto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26" customHeight="1">
      <c r="A19" s="1" t="n"/>
      <c r="B19" s="7" t="inlineStr">
        <is>
          <t>🕸️ Rede de atividades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 ht="30" customHeight="1">
      <c r="A20" s="1" t="n"/>
      <c r="B20" s="12" t="inlineStr">
        <is>
          <t>Preencha Código, Atividade, Duração e até 3 predecessoras (pelo código). ES, EF, LS, LF, folga e caminho crítico são calculados. Predecessoras precisam estar em linhas ACIMA.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30" customHeight="1">
      <c r="A21" s="1" t="n"/>
      <c r="B21" s="13" t="inlineStr">
        <is>
          <t>#</t>
        </is>
      </c>
      <c r="C21" s="13" t="inlineStr">
        <is>
          <t>Código</t>
        </is>
      </c>
      <c r="D21" s="13" t="inlineStr">
        <is>
          <t>Atividade</t>
        </is>
      </c>
      <c r="E21" s="13" t="inlineStr">
        <is>
          <t>Duração</t>
        </is>
      </c>
      <c r="F21" s="13" t="inlineStr">
        <is>
          <t>Pred. 1</t>
        </is>
      </c>
      <c r="G21" s="13" t="inlineStr">
        <is>
          <t>Pred. 2</t>
        </is>
      </c>
      <c r="H21" s="13" t="inlineStr">
        <is>
          <t>Pred. 3</t>
        </is>
      </c>
      <c r="I21" s="13" t="inlineStr">
        <is>
          <t>ES</t>
        </is>
      </c>
      <c r="J21" s="13" t="inlineStr">
        <is>
          <t>EF</t>
        </is>
      </c>
      <c r="K21" s="13" t="inlineStr">
        <is>
          <t>LS</t>
        </is>
      </c>
      <c r="L21" s="13" t="inlineStr">
        <is>
          <t>LF</t>
        </is>
      </c>
      <c r="M21" s="13" t="inlineStr">
        <is>
          <t>Folga</t>
        </is>
      </c>
      <c r="N21" s="13" t="inlineStr">
        <is>
          <t>Crítica?</t>
        </is>
      </c>
      <c r="O21" s="1" t="n"/>
      <c r="P21" s="1" t="n"/>
      <c r="Q21" s="1" t="n"/>
      <c r="R21" s="1" t="n"/>
      <c r="S21" s="1" t="n"/>
      <c r="T21" s="1" t="n"/>
    </row>
    <row r="22" ht="24" customHeight="1">
      <c r="A22" s="1" t="n"/>
      <c r="B22" s="14" t="inlineStr"/>
      <c r="C22" s="14" t="inlineStr">
        <is>
          <t>EAP (ex.: 1.1)</t>
        </is>
      </c>
      <c r="D22" s="14" t="inlineStr"/>
      <c r="E22" s="14" t="inlineStr">
        <is>
          <t>dias ou semanas</t>
        </is>
      </c>
      <c r="F22" s="14" t="inlineStr">
        <is>
          <t>código</t>
        </is>
      </c>
      <c r="G22" s="14" t="inlineStr">
        <is>
          <t>código</t>
        </is>
      </c>
      <c r="H22" s="14" t="inlineStr">
        <is>
          <t>código</t>
        </is>
      </c>
      <c r="I22" s="14" t="inlineStr"/>
      <c r="J22" s="14" t="inlineStr"/>
      <c r="K22" s="14" t="inlineStr"/>
      <c r="L22" s="14" t="inlineStr"/>
      <c r="M22" s="14" t="inlineStr"/>
      <c r="N22" s="14" t="inlineStr"/>
      <c r="O22" s="1" t="n"/>
      <c r="P22" s="1" t="n"/>
      <c r="Q22" s="1" t="n"/>
      <c r="R22" s="1" t="n"/>
      <c r="S22" s="1" t="n"/>
      <c r="T22" s="1" t="n"/>
    </row>
    <row r="23" ht="18" customHeight="1">
      <c r="A23" s="1" t="n"/>
      <c r="B23" s="15" t="n">
        <v>1</v>
      </c>
      <c r="C23" s="10" t="n"/>
      <c r="D23" s="10" t="n"/>
      <c r="E23" s="10" t="n"/>
      <c r="F23" s="10" t="n"/>
      <c r="G23" s="10" t="n"/>
      <c r="H23" s="10" t="n"/>
      <c r="I23" s="16">
        <f>IF($C23="","",0)</f>
        <v/>
      </c>
      <c r="J23" s="16">
        <f>IF($C23="","",I23+N(E23))</f>
        <v/>
      </c>
      <c r="K23" s="16">
        <f>IF($C23="","",L23-N(E23))</f>
        <v/>
      </c>
      <c r="L23" s="16">
        <f>IF($C23="","",MIN(IF(COUNTIF($F$24:$F$38,$C23)&gt;0,_xlfn.MINIFS($K$24:$K$38,$F$24:$F$38,$C23),MAX($J$23:$J$38)),IF(COUNTIF($G$24:$G$38,$C23)&gt;0,_xlfn.MINIFS($K$24:$K$38,$G$24:$G$38,$C23),MAX($J$23:$J$38)),IF(COUNTIF($H$24:$H$38,$C23)&gt;0,_xlfn.MINIFS($K$24:$K$38,$H$24:$H$38,$C23),MAX($J$23:$J$38))))</f>
        <v/>
      </c>
      <c r="M23" s="16">
        <f>IF($C23="","",K23-I23)</f>
        <v/>
      </c>
      <c r="N23" s="16">
        <f>IF($C23="","",IF(M23=0,"Sim","Não"))</f>
        <v/>
      </c>
      <c r="O23" s="1" t="n"/>
      <c r="P23" s="1" t="n"/>
      <c r="Q23" s="1" t="n"/>
      <c r="R23" s="1" t="n"/>
      <c r="S23" s="1" t="n"/>
      <c r="T23" s="1" t="n"/>
    </row>
    <row r="24" ht="18" customHeight="1">
      <c r="A24" s="1" t="n"/>
      <c r="B24" s="15" t="n">
        <v>2</v>
      </c>
      <c r="C24" s="10" t="n"/>
      <c r="D24" s="10" t="n"/>
      <c r="E24" s="10" t="n"/>
      <c r="F24" s="10" t="n"/>
      <c r="G24" s="10" t="n"/>
      <c r="H24" s="10" t="n"/>
      <c r="I24" s="16">
        <f>IF($C24="","",MAX(IF($F24="",0,IFERROR(INDEX($J$23:$J$23,MATCH($F24,$C$23:$C$23,0)),0)),IF($G24="",0,IFERROR(INDEX($J$23:$J$23,MATCH($G24,$C$23:$C$23,0)),0)),IF($H24="",0,IFERROR(INDEX($J$23:$J$23,MATCH($H24,$C$23:$C$23,0)),0))))</f>
        <v/>
      </c>
      <c r="J24" s="16">
        <f>IF($C24="","",I24+N(E24))</f>
        <v/>
      </c>
      <c r="K24" s="16">
        <f>IF($C24="","",L24-N(E24))</f>
        <v/>
      </c>
      <c r="L24" s="16">
        <f>IF($C24="","",MIN(IF(COUNTIF($F$25:$F$38,$C24)&gt;0,_xlfn.MINIFS($K$25:$K$38,$F$25:$F$38,$C24),MAX($J$23:$J$38)),IF(COUNTIF($G$25:$G$38,$C24)&gt;0,_xlfn.MINIFS($K$25:$K$38,$G$25:$G$38,$C24),MAX($J$23:$J$38)),IF(COUNTIF($H$25:$H$38,$C24)&gt;0,_xlfn.MINIFS($K$25:$K$38,$H$25:$H$38,$C24),MAX($J$23:$J$38))))</f>
        <v/>
      </c>
      <c r="M24" s="16">
        <f>IF($C24="","",K24-I24)</f>
        <v/>
      </c>
      <c r="N24" s="16">
        <f>IF($C24="","",IF(M24=0,"Sim","Não"))</f>
        <v/>
      </c>
      <c r="O24" s="1" t="n"/>
      <c r="P24" s="1" t="n"/>
      <c r="Q24" s="1" t="n"/>
      <c r="R24" s="1" t="n"/>
      <c r="S24" s="1" t="n"/>
      <c r="T24" s="1" t="n"/>
    </row>
    <row r="25" ht="18" customHeight="1">
      <c r="A25" s="1" t="n"/>
      <c r="B25" s="15" t="n">
        <v>3</v>
      </c>
      <c r="C25" s="10" t="n"/>
      <c r="D25" s="10" t="n"/>
      <c r="E25" s="10" t="n"/>
      <c r="F25" s="10" t="n"/>
      <c r="G25" s="10" t="n"/>
      <c r="H25" s="10" t="n"/>
      <c r="I25" s="16">
        <f>IF($C25="","",MAX(IF($F25="",0,IFERROR(INDEX($J$23:$J$24,MATCH($F25,$C$23:$C$24,0)),0)),IF($G25="",0,IFERROR(INDEX($J$23:$J$24,MATCH($G25,$C$23:$C$24,0)),0)),IF($H25="",0,IFERROR(INDEX($J$23:$J$24,MATCH($H25,$C$23:$C$24,0)),0))))</f>
        <v/>
      </c>
      <c r="J25" s="16">
        <f>IF($C25="","",I25+N(E25))</f>
        <v/>
      </c>
      <c r="K25" s="16">
        <f>IF($C25="","",L25-N(E25))</f>
        <v/>
      </c>
      <c r="L25" s="16">
        <f>IF($C25="","",MIN(IF(COUNTIF($F$26:$F$38,$C25)&gt;0,_xlfn.MINIFS($K$26:$K$38,$F$26:$F$38,$C25),MAX($J$23:$J$38)),IF(COUNTIF($G$26:$G$38,$C25)&gt;0,_xlfn.MINIFS($K$26:$K$38,$G$26:$G$38,$C25),MAX($J$23:$J$38)),IF(COUNTIF($H$26:$H$38,$C25)&gt;0,_xlfn.MINIFS($K$26:$K$38,$H$26:$H$38,$C25),MAX($J$23:$J$38))))</f>
        <v/>
      </c>
      <c r="M25" s="16">
        <f>IF($C25="","",K25-I25)</f>
        <v/>
      </c>
      <c r="N25" s="16">
        <f>IF($C25="","",IF(M25=0,"Sim","Não"))</f>
        <v/>
      </c>
      <c r="O25" s="1" t="n"/>
      <c r="P25" s="1" t="n"/>
      <c r="Q25" s="1" t="n"/>
      <c r="R25" s="1" t="n"/>
      <c r="S25" s="1" t="n"/>
      <c r="T25" s="1" t="n"/>
    </row>
    <row r="26" ht="18" customHeight="1">
      <c r="A26" s="1" t="n"/>
      <c r="B26" s="15" t="n">
        <v>4</v>
      </c>
      <c r="C26" s="10" t="n"/>
      <c r="D26" s="10" t="n"/>
      <c r="E26" s="10" t="n"/>
      <c r="F26" s="10" t="n"/>
      <c r="G26" s="10" t="n"/>
      <c r="H26" s="10" t="n"/>
      <c r="I26" s="16">
        <f>IF($C26="","",MAX(IF($F26="",0,IFERROR(INDEX($J$23:$J$25,MATCH($F26,$C$23:$C$25,0)),0)),IF($G26="",0,IFERROR(INDEX($J$23:$J$25,MATCH($G26,$C$23:$C$25,0)),0)),IF($H26="",0,IFERROR(INDEX($J$23:$J$25,MATCH($H26,$C$23:$C$25,0)),0))))</f>
        <v/>
      </c>
      <c r="J26" s="16">
        <f>IF($C26="","",I26+N(E26))</f>
        <v/>
      </c>
      <c r="K26" s="16">
        <f>IF($C26="","",L26-N(E26))</f>
        <v/>
      </c>
      <c r="L26" s="16">
        <f>IF($C26="","",MIN(IF(COUNTIF($F$27:$F$38,$C26)&gt;0,_xlfn.MINIFS($K$27:$K$38,$F$27:$F$38,$C26),MAX($J$23:$J$38)),IF(COUNTIF($G$27:$G$38,$C26)&gt;0,_xlfn.MINIFS($K$27:$K$38,$G$27:$G$38,$C26),MAX($J$23:$J$38)),IF(COUNTIF($H$27:$H$38,$C26)&gt;0,_xlfn.MINIFS($K$27:$K$38,$H$27:$H$38,$C26),MAX($J$23:$J$38))))</f>
        <v/>
      </c>
      <c r="M26" s="16">
        <f>IF($C26="","",K26-I26)</f>
        <v/>
      </c>
      <c r="N26" s="16">
        <f>IF($C26="","",IF(M26=0,"Sim","Não"))</f>
        <v/>
      </c>
      <c r="O26" s="1" t="n"/>
      <c r="P26" s="1" t="n"/>
      <c r="Q26" s="1" t="n"/>
      <c r="R26" s="1" t="n"/>
      <c r="S26" s="1" t="n"/>
      <c r="T26" s="1" t="n"/>
    </row>
    <row r="27" ht="18" customHeight="1">
      <c r="A27" s="1" t="n"/>
      <c r="B27" s="15" t="n">
        <v>5</v>
      </c>
      <c r="C27" s="10" t="n"/>
      <c r="D27" s="10" t="n"/>
      <c r="E27" s="10" t="n"/>
      <c r="F27" s="10" t="n"/>
      <c r="G27" s="10" t="n"/>
      <c r="H27" s="10" t="n"/>
      <c r="I27" s="16">
        <f>IF($C27="","",MAX(IF($F27="",0,IFERROR(INDEX($J$23:$J$26,MATCH($F27,$C$23:$C$26,0)),0)),IF($G27="",0,IFERROR(INDEX($J$23:$J$26,MATCH($G27,$C$23:$C$26,0)),0)),IF($H27="",0,IFERROR(INDEX($J$23:$J$26,MATCH($H27,$C$23:$C$26,0)),0))))</f>
        <v/>
      </c>
      <c r="J27" s="16">
        <f>IF($C27="","",I27+N(E27))</f>
        <v/>
      </c>
      <c r="K27" s="16">
        <f>IF($C27="","",L27-N(E27))</f>
        <v/>
      </c>
      <c r="L27" s="16">
        <f>IF($C27="","",MIN(IF(COUNTIF($F$28:$F$38,$C27)&gt;0,_xlfn.MINIFS($K$28:$K$38,$F$28:$F$38,$C27),MAX($J$23:$J$38)),IF(COUNTIF($G$28:$G$38,$C27)&gt;0,_xlfn.MINIFS($K$28:$K$38,$G$28:$G$38,$C27),MAX($J$23:$J$38)),IF(COUNTIF($H$28:$H$38,$C27)&gt;0,_xlfn.MINIFS($K$28:$K$38,$H$28:$H$38,$C27),MAX($J$23:$J$38))))</f>
        <v/>
      </c>
      <c r="M27" s="16">
        <f>IF($C27="","",K27-I27)</f>
        <v/>
      </c>
      <c r="N27" s="16">
        <f>IF($C27="","",IF(M27=0,"Sim","Não"))</f>
        <v/>
      </c>
      <c r="O27" s="1" t="n"/>
      <c r="P27" s="1" t="n"/>
      <c r="Q27" s="1" t="n"/>
      <c r="R27" s="1" t="n"/>
      <c r="S27" s="1" t="n"/>
      <c r="T27" s="1" t="n"/>
    </row>
    <row r="28" ht="18" customHeight="1">
      <c r="A28" s="1" t="n"/>
      <c r="B28" s="15" t="n">
        <v>6</v>
      </c>
      <c r="C28" s="10" t="n"/>
      <c r="D28" s="10" t="n"/>
      <c r="E28" s="10" t="n"/>
      <c r="F28" s="10" t="n"/>
      <c r="G28" s="10" t="n"/>
      <c r="H28" s="10" t="n"/>
      <c r="I28" s="16">
        <f>IF($C28="","",MAX(IF($F28="",0,IFERROR(INDEX($J$23:$J$27,MATCH($F28,$C$23:$C$27,0)),0)),IF($G28="",0,IFERROR(INDEX($J$23:$J$27,MATCH($G28,$C$23:$C$27,0)),0)),IF($H28="",0,IFERROR(INDEX($J$23:$J$27,MATCH($H28,$C$23:$C$27,0)),0))))</f>
        <v/>
      </c>
      <c r="J28" s="16">
        <f>IF($C28="","",I28+N(E28))</f>
        <v/>
      </c>
      <c r="K28" s="16">
        <f>IF($C28="","",L28-N(E28))</f>
        <v/>
      </c>
      <c r="L28" s="16">
        <f>IF($C28="","",MIN(IF(COUNTIF($F$29:$F$38,$C28)&gt;0,_xlfn.MINIFS($K$29:$K$38,$F$29:$F$38,$C28),MAX($J$23:$J$38)),IF(COUNTIF($G$29:$G$38,$C28)&gt;0,_xlfn.MINIFS($K$29:$K$38,$G$29:$G$38,$C28),MAX($J$23:$J$38)),IF(COUNTIF($H$29:$H$38,$C28)&gt;0,_xlfn.MINIFS($K$29:$K$38,$H$29:$H$38,$C28),MAX($J$23:$J$38))))</f>
        <v/>
      </c>
      <c r="M28" s="16">
        <f>IF($C28="","",K28-I28)</f>
        <v/>
      </c>
      <c r="N28" s="16">
        <f>IF($C28="","",IF(M28=0,"Sim","Não"))</f>
        <v/>
      </c>
      <c r="O28" s="1" t="n"/>
      <c r="P28" s="1" t="n"/>
      <c r="Q28" s="1" t="n"/>
      <c r="R28" s="1" t="n"/>
      <c r="S28" s="1" t="n"/>
      <c r="T28" s="1" t="n"/>
    </row>
    <row r="29" ht="18" customHeight="1">
      <c r="A29" s="1" t="n"/>
      <c r="B29" s="15" t="n">
        <v>7</v>
      </c>
      <c r="C29" s="10" t="n"/>
      <c r="D29" s="10" t="n"/>
      <c r="E29" s="10" t="n"/>
      <c r="F29" s="10" t="n"/>
      <c r="G29" s="10" t="n"/>
      <c r="H29" s="10" t="n"/>
      <c r="I29" s="16">
        <f>IF($C29="","",MAX(IF($F29="",0,IFERROR(INDEX($J$23:$J$28,MATCH($F29,$C$23:$C$28,0)),0)),IF($G29="",0,IFERROR(INDEX($J$23:$J$28,MATCH($G29,$C$23:$C$28,0)),0)),IF($H29="",0,IFERROR(INDEX($J$23:$J$28,MATCH($H29,$C$23:$C$28,0)),0))))</f>
        <v/>
      </c>
      <c r="J29" s="16">
        <f>IF($C29="","",I29+N(E29))</f>
        <v/>
      </c>
      <c r="K29" s="16">
        <f>IF($C29="","",L29-N(E29))</f>
        <v/>
      </c>
      <c r="L29" s="16">
        <f>IF($C29="","",MIN(IF(COUNTIF($F$30:$F$38,$C29)&gt;0,_xlfn.MINIFS($K$30:$K$38,$F$30:$F$38,$C29),MAX($J$23:$J$38)),IF(COUNTIF($G$30:$G$38,$C29)&gt;0,_xlfn.MINIFS($K$30:$K$38,$G$30:$G$38,$C29),MAX($J$23:$J$38)),IF(COUNTIF($H$30:$H$38,$C29)&gt;0,_xlfn.MINIFS($K$30:$K$38,$H$30:$H$38,$C29),MAX($J$23:$J$38))))</f>
        <v/>
      </c>
      <c r="M29" s="16">
        <f>IF($C29="","",K29-I29)</f>
        <v/>
      </c>
      <c r="N29" s="16">
        <f>IF($C29="","",IF(M29=0,"Sim","Não"))</f>
        <v/>
      </c>
      <c r="O29" s="1" t="n"/>
      <c r="P29" s="1" t="n"/>
      <c r="Q29" s="1" t="n"/>
      <c r="R29" s="1" t="n"/>
      <c r="S29" s="1" t="n"/>
      <c r="T29" s="1" t="n"/>
    </row>
    <row r="30" ht="18" customHeight="1">
      <c r="A30" s="1" t="n"/>
      <c r="B30" s="15" t="n">
        <v>8</v>
      </c>
      <c r="C30" s="10" t="n"/>
      <c r="D30" s="10" t="n"/>
      <c r="E30" s="10" t="n"/>
      <c r="F30" s="10" t="n"/>
      <c r="G30" s="10" t="n"/>
      <c r="H30" s="10" t="n"/>
      <c r="I30" s="16">
        <f>IF($C30="","",MAX(IF($F30="",0,IFERROR(INDEX($J$23:$J$29,MATCH($F30,$C$23:$C$29,0)),0)),IF($G30="",0,IFERROR(INDEX($J$23:$J$29,MATCH($G30,$C$23:$C$29,0)),0)),IF($H30="",0,IFERROR(INDEX($J$23:$J$29,MATCH($H30,$C$23:$C$29,0)),0))))</f>
        <v/>
      </c>
      <c r="J30" s="16">
        <f>IF($C30="","",I30+N(E30))</f>
        <v/>
      </c>
      <c r="K30" s="16">
        <f>IF($C30="","",L30-N(E30))</f>
        <v/>
      </c>
      <c r="L30" s="16">
        <f>IF($C30="","",MIN(IF(COUNTIF($F$31:$F$38,$C30)&gt;0,_xlfn.MINIFS($K$31:$K$38,$F$31:$F$38,$C30),MAX($J$23:$J$38)),IF(COUNTIF($G$31:$G$38,$C30)&gt;0,_xlfn.MINIFS($K$31:$K$38,$G$31:$G$38,$C30),MAX($J$23:$J$38)),IF(COUNTIF($H$31:$H$38,$C30)&gt;0,_xlfn.MINIFS($K$31:$K$38,$H$31:$H$38,$C30),MAX($J$23:$J$38))))</f>
        <v/>
      </c>
      <c r="M30" s="16">
        <f>IF($C30="","",K30-I30)</f>
        <v/>
      </c>
      <c r="N30" s="16">
        <f>IF($C30="","",IF(M30=0,"Sim","Não"))</f>
        <v/>
      </c>
      <c r="O30" s="1" t="n"/>
      <c r="P30" s="1" t="n"/>
      <c r="Q30" s="1" t="n"/>
      <c r="R30" s="1" t="n"/>
      <c r="S30" s="1" t="n"/>
      <c r="T30" s="1" t="n"/>
    </row>
    <row r="31" ht="18" customHeight="1">
      <c r="A31" s="1" t="n"/>
      <c r="B31" s="15" t="n">
        <v>9</v>
      </c>
      <c r="C31" s="10" t="n"/>
      <c r="D31" s="10" t="n"/>
      <c r="E31" s="10" t="n"/>
      <c r="F31" s="10" t="n"/>
      <c r="G31" s="10" t="n"/>
      <c r="H31" s="10" t="n"/>
      <c r="I31" s="16">
        <f>IF($C31="","",MAX(IF($F31="",0,IFERROR(INDEX($J$23:$J$30,MATCH($F31,$C$23:$C$30,0)),0)),IF($G31="",0,IFERROR(INDEX($J$23:$J$30,MATCH($G31,$C$23:$C$30,0)),0)),IF($H31="",0,IFERROR(INDEX($J$23:$J$30,MATCH($H31,$C$23:$C$30,0)),0))))</f>
        <v/>
      </c>
      <c r="J31" s="16">
        <f>IF($C31="","",I31+N(E31))</f>
        <v/>
      </c>
      <c r="K31" s="16">
        <f>IF($C31="","",L31-N(E31))</f>
        <v/>
      </c>
      <c r="L31" s="16">
        <f>IF($C31="","",MIN(IF(COUNTIF($F$32:$F$38,$C31)&gt;0,_xlfn.MINIFS($K$32:$K$38,$F$32:$F$38,$C31),MAX($J$23:$J$38)),IF(COUNTIF($G$32:$G$38,$C31)&gt;0,_xlfn.MINIFS($K$32:$K$38,$G$32:$G$38,$C31),MAX($J$23:$J$38)),IF(COUNTIF($H$32:$H$38,$C31)&gt;0,_xlfn.MINIFS($K$32:$K$38,$H$32:$H$38,$C31),MAX($J$23:$J$38))))</f>
        <v/>
      </c>
      <c r="M31" s="16">
        <f>IF($C31="","",K31-I31)</f>
        <v/>
      </c>
      <c r="N31" s="16">
        <f>IF($C31="","",IF(M31=0,"Sim","Não"))</f>
        <v/>
      </c>
      <c r="O31" s="1" t="n"/>
      <c r="P31" s="1" t="n"/>
      <c r="Q31" s="1" t="n"/>
      <c r="R31" s="1" t="n"/>
      <c r="S31" s="1" t="n"/>
      <c r="T31" s="1" t="n"/>
    </row>
    <row r="32" ht="18" customHeight="1">
      <c r="A32" s="1" t="n"/>
      <c r="B32" s="15" t="n">
        <v>10</v>
      </c>
      <c r="C32" s="10" t="n"/>
      <c r="D32" s="10" t="n"/>
      <c r="E32" s="10" t="n"/>
      <c r="F32" s="10" t="n"/>
      <c r="G32" s="10" t="n"/>
      <c r="H32" s="10" t="n"/>
      <c r="I32" s="16">
        <f>IF($C32="","",MAX(IF($F32="",0,IFERROR(INDEX($J$23:$J$31,MATCH($F32,$C$23:$C$31,0)),0)),IF($G32="",0,IFERROR(INDEX($J$23:$J$31,MATCH($G32,$C$23:$C$31,0)),0)),IF($H32="",0,IFERROR(INDEX($J$23:$J$31,MATCH($H32,$C$23:$C$31,0)),0))))</f>
        <v/>
      </c>
      <c r="J32" s="16">
        <f>IF($C32="","",I32+N(E32))</f>
        <v/>
      </c>
      <c r="K32" s="16">
        <f>IF($C32="","",L32-N(E32))</f>
        <v/>
      </c>
      <c r="L32" s="16">
        <f>IF($C32="","",MIN(IF(COUNTIF($F$33:$F$38,$C32)&gt;0,_xlfn.MINIFS($K$33:$K$38,$F$33:$F$38,$C32),MAX($J$23:$J$38)),IF(COUNTIF($G$33:$G$38,$C32)&gt;0,_xlfn.MINIFS($K$33:$K$38,$G$33:$G$38,$C32),MAX($J$23:$J$38)),IF(COUNTIF($H$33:$H$38,$C32)&gt;0,_xlfn.MINIFS($K$33:$K$38,$H$33:$H$38,$C32),MAX($J$23:$J$38))))</f>
        <v/>
      </c>
      <c r="M32" s="16">
        <f>IF($C32="","",K32-I32)</f>
        <v/>
      </c>
      <c r="N32" s="16">
        <f>IF($C32="","",IF(M32=0,"Sim","Não"))</f>
        <v/>
      </c>
      <c r="O32" s="1" t="n"/>
      <c r="P32" s="1" t="n"/>
      <c r="Q32" s="1" t="n"/>
      <c r="R32" s="1" t="n"/>
      <c r="S32" s="1" t="n"/>
      <c r="T32" s="1" t="n"/>
    </row>
    <row r="33" ht="18" customHeight="1">
      <c r="A33" s="1" t="n"/>
      <c r="B33" s="15" t="n">
        <v>11</v>
      </c>
      <c r="C33" s="10" t="n"/>
      <c r="D33" s="10" t="n"/>
      <c r="E33" s="10" t="n"/>
      <c r="F33" s="10" t="n"/>
      <c r="G33" s="10" t="n"/>
      <c r="H33" s="10" t="n"/>
      <c r="I33" s="16">
        <f>IF($C33="","",MAX(IF($F33="",0,IFERROR(INDEX($J$23:$J$32,MATCH($F33,$C$23:$C$32,0)),0)),IF($G33="",0,IFERROR(INDEX($J$23:$J$32,MATCH($G33,$C$23:$C$32,0)),0)),IF($H33="",0,IFERROR(INDEX($J$23:$J$32,MATCH($H33,$C$23:$C$32,0)),0))))</f>
        <v/>
      </c>
      <c r="J33" s="16">
        <f>IF($C33="","",I33+N(E33))</f>
        <v/>
      </c>
      <c r="K33" s="16">
        <f>IF($C33="","",L33-N(E33))</f>
        <v/>
      </c>
      <c r="L33" s="16">
        <f>IF($C33="","",MIN(IF(COUNTIF($F$34:$F$38,$C33)&gt;0,_xlfn.MINIFS($K$34:$K$38,$F$34:$F$38,$C33),MAX($J$23:$J$38)),IF(COUNTIF($G$34:$G$38,$C33)&gt;0,_xlfn.MINIFS($K$34:$K$38,$G$34:$G$38,$C33),MAX($J$23:$J$38)),IF(COUNTIF($H$34:$H$38,$C33)&gt;0,_xlfn.MINIFS($K$34:$K$38,$H$34:$H$38,$C33),MAX($J$23:$J$38))))</f>
        <v/>
      </c>
      <c r="M33" s="16">
        <f>IF($C33="","",K33-I33)</f>
        <v/>
      </c>
      <c r="N33" s="16">
        <f>IF($C33="","",IF(M33=0,"Sim","Não"))</f>
        <v/>
      </c>
      <c r="O33" s="1" t="n"/>
      <c r="P33" s="1" t="n"/>
      <c r="Q33" s="1" t="n"/>
      <c r="R33" s="1" t="n"/>
      <c r="S33" s="1" t="n"/>
      <c r="T33" s="1" t="n"/>
    </row>
    <row r="34" ht="18" customHeight="1">
      <c r="A34" s="1" t="n"/>
      <c r="B34" s="15" t="n">
        <v>12</v>
      </c>
      <c r="C34" s="10" t="n"/>
      <c r="D34" s="10" t="n"/>
      <c r="E34" s="10" t="n"/>
      <c r="F34" s="10" t="n"/>
      <c r="G34" s="10" t="n"/>
      <c r="H34" s="10" t="n"/>
      <c r="I34" s="16">
        <f>IF($C34="","",MAX(IF($F34="",0,IFERROR(INDEX($J$23:$J$33,MATCH($F34,$C$23:$C$33,0)),0)),IF($G34="",0,IFERROR(INDEX($J$23:$J$33,MATCH($G34,$C$23:$C$33,0)),0)),IF($H34="",0,IFERROR(INDEX($J$23:$J$33,MATCH($H34,$C$23:$C$33,0)),0))))</f>
        <v/>
      </c>
      <c r="J34" s="16">
        <f>IF($C34="","",I34+N(E34))</f>
        <v/>
      </c>
      <c r="K34" s="16">
        <f>IF($C34="","",L34-N(E34))</f>
        <v/>
      </c>
      <c r="L34" s="16">
        <f>IF($C34="","",MIN(IF(COUNTIF($F$35:$F$38,$C34)&gt;0,_xlfn.MINIFS($K$35:$K$38,$F$35:$F$38,$C34),MAX($J$23:$J$38)),IF(COUNTIF($G$35:$G$38,$C34)&gt;0,_xlfn.MINIFS($K$35:$K$38,$G$35:$G$38,$C34),MAX($J$23:$J$38)),IF(COUNTIF($H$35:$H$38,$C34)&gt;0,_xlfn.MINIFS($K$35:$K$38,$H$35:$H$38,$C34),MAX($J$23:$J$38))))</f>
        <v/>
      </c>
      <c r="M34" s="16">
        <f>IF($C34="","",K34-I34)</f>
        <v/>
      </c>
      <c r="N34" s="16">
        <f>IF($C34="","",IF(M34=0,"Sim","Não"))</f>
        <v/>
      </c>
      <c r="O34" s="1" t="n"/>
      <c r="P34" s="1" t="n"/>
      <c r="Q34" s="1" t="n"/>
      <c r="R34" s="1" t="n"/>
      <c r="S34" s="1" t="n"/>
      <c r="T34" s="1" t="n"/>
    </row>
    <row r="35" ht="18" customHeight="1">
      <c r="A35" s="1" t="n"/>
      <c r="B35" s="15" t="n">
        <v>13</v>
      </c>
      <c r="C35" s="10" t="n"/>
      <c r="D35" s="10" t="n"/>
      <c r="E35" s="10" t="n"/>
      <c r="F35" s="10" t="n"/>
      <c r="G35" s="10" t="n"/>
      <c r="H35" s="10" t="n"/>
      <c r="I35" s="16">
        <f>IF($C35="","",MAX(IF($F35="",0,IFERROR(INDEX($J$23:$J$34,MATCH($F35,$C$23:$C$34,0)),0)),IF($G35="",0,IFERROR(INDEX($J$23:$J$34,MATCH($G35,$C$23:$C$34,0)),0)),IF($H35="",0,IFERROR(INDEX($J$23:$J$34,MATCH($H35,$C$23:$C$34,0)),0))))</f>
        <v/>
      </c>
      <c r="J35" s="16">
        <f>IF($C35="","",I35+N(E35))</f>
        <v/>
      </c>
      <c r="K35" s="16">
        <f>IF($C35="","",L35-N(E35))</f>
        <v/>
      </c>
      <c r="L35" s="16">
        <f>IF($C35="","",MIN(IF(COUNTIF($F$36:$F$38,$C35)&gt;0,_xlfn.MINIFS($K$36:$K$38,$F$36:$F$38,$C35),MAX($J$23:$J$38)),IF(COUNTIF($G$36:$G$38,$C35)&gt;0,_xlfn.MINIFS($K$36:$K$38,$G$36:$G$38,$C35),MAX($J$23:$J$38)),IF(COUNTIF($H$36:$H$38,$C35)&gt;0,_xlfn.MINIFS($K$36:$K$38,$H$36:$H$38,$C35),MAX($J$23:$J$38))))</f>
        <v/>
      </c>
      <c r="M35" s="16">
        <f>IF($C35="","",K35-I35)</f>
        <v/>
      </c>
      <c r="N35" s="16">
        <f>IF($C35="","",IF(M35=0,"Sim","Não"))</f>
        <v/>
      </c>
      <c r="O35" s="1" t="n"/>
      <c r="P35" s="1" t="n"/>
      <c r="Q35" s="1" t="n"/>
      <c r="R35" s="1" t="n"/>
      <c r="S35" s="1" t="n"/>
      <c r="T35" s="1" t="n"/>
    </row>
    <row r="36" ht="18" customHeight="1">
      <c r="A36" s="1" t="n"/>
      <c r="B36" s="15" t="n">
        <v>14</v>
      </c>
      <c r="C36" s="10" t="n"/>
      <c r="D36" s="10" t="n"/>
      <c r="E36" s="10" t="n"/>
      <c r="F36" s="10" t="n"/>
      <c r="G36" s="10" t="n"/>
      <c r="H36" s="10" t="n"/>
      <c r="I36" s="16">
        <f>IF($C36="","",MAX(IF($F36="",0,IFERROR(INDEX($J$23:$J$35,MATCH($F36,$C$23:$C$35,0)),0)),IF($G36="",0,IFERROR(INDEX($J$23:$J$35,MATCH($G36,$C$23:$C$35,0)),0)),IF($H36="",0,IFERROR(INDEX($J$23:$J$35,MATCH($H36,$C$23:$C$35,0)),0))))</f>
        <v/>
      </c>
      <c r="J36" s="16">
        <f>IF($C36="","",I36+N(E36))</f>
        <v/>
      </c>
      <c r="K36" s="16">
        <f>IF($C36="","",L36-N(E36))</f>
        <v/>
      </c>
      <c r="L36" s="16">
        <f>IF($C36="","",MIN(IF(COUNTIF($F$37:$F$38,$C36)&gt;0,_xlfn.MINIFS($K$37:$K$38,$F$37:$F$38,$C36),MAX($J$23:$J$38)),IF(COUNTIF($G$37:$G$38,$C36)&gt;0,_xlfn.MINIFS($K$37:$K$38,$G$37:$G$38,$C36),MAX($J$23:$J$38)),IF(COUNTIF($H$37:$H$38,$C36)&gt;0,_xlfn.MINIFS($K$37:$K$38,$H$37:$H$38,$C36),MAX($J$23:$J$38))))</f>
        <v/>
      </c>
      <c r="M36" s="16">
        <f>IF($C36="","",K36-I36)</f>
        <v/>
      </c>
      <c r="N36" s="16">
        <f>IF($C36="","",IF(M36=0,"Sim","Não"))</f>
        <v/>
      </c>
      <c r="O36" s="1" t="n"/>
      <c r="P36" s="1" t="n"/>
      <c r="Q36" s="1" t="n"/>
      <c r="R36" s="1" t="n"/>
      <c r="S36" s="1" t="n"/>
      <c r="T36" s="1" t="n"/>
    </row>
    <row r="37" ht="18" customHeight="1">
      <c r="A37" s="1" t="n"/>
      <c r="B37" s="15" t="n">
        <v>15</v>
      </c>
      <c r="C37" s="10" t="n"/>
      <c r="D37" s="10" t="n"/>
      <c r="E37" s="10" t="n"/>
      <c r="F37" s="10" t="n"/>
      <c r="G37" s="10" t="n"/>
      <c r="H37" s="10" t="n"/>
      <c r="I37" s="16">
        <f>IF($C37="","",MAX(IF($F37="",0,IFERROR(INDEX($J$23:$J$36,MATCH($F37,$C$23:$C$36,0)),0)),IF($G37="",0,IFERROR(INDEX($J$23:$J$36,MATCH($G37,$C$23:$C$36,0)),0)),IF($H37="",0,IFERROR(INDEX($J$23:$J$36,MATCH($H37,$C$23:$C$36,0)),0))))</f>
        <v/>
      </c>
      <c r="J37" s="16">
        <f>IF($C37="","",I37+N(E37))</f>
        <v/>
      </c>
      <c r="K37" s="16">
        <f>IF($C37="","",L37-N(E37))</f>
        <v/>
      </c>
      <c r="L37" s="16">
        <f>IF($C37="","",MIN(IF(COUNTIF($F$38:$F$38,$C37)&gt;0,_xlfn.MINIFS($K$38:$K$38,$F$38:$F$38,$C37),MAX($J$23:$J$38)),IF(COUNTIF($G$38:$G$38,$C37)&gt;0,_xlfn.MINIFS($K$38:$K$38,$G$38:$G$38,$C37),MAX($J$23:$J$38)),IF(COUNTIF($H$38:$H$38,$C37)&gt;0,_xlfn.MINIFS($K$38:$K$38,$H$38:$H$38,$C37),MAX($J$23:$J$38))))</f>
        <v/>
      </c>
      <c r="M37" s="16">
        <f>IF($C37="","",K37-I37)</f>
        <v/>
      </c>
      <c r="N37" s="16">
        <f>IF($C37="","",IF(M37=0,"Sim","Não"))</f>
        <v/>
      </c>
      <c r="O37" s="1" t="n"/>
      <c r="P37" s="1" t="n"/>
      <c r="Q37" s="1" t="n"/>
      <c r="R37" s="1" t="n"/>
      <c r="S37" s="1" t="n"/>
      <c r="T37" s="1" t="n"/>
    </row>
    <row r="38" ht="18" customHeight="1">
      <c r="A38" s="1" t="n"/>
      <c r="B38" s="15" t="n">
        <v>16</v>
      </c>
      <c r="C38" s="10" t="n"/>
      <c r="D38" s="10" t="n"/>
      <c r="E38" s="10" t="n"/>
      <c r="F38" s="10" t="n"/>
      <c r="G38" s="10" t="n"/>
      <c r="H38" s="10" t="n"/>
      <c r="I38" s="16">
        <f>IF($C38="","",MAX(IF($F38="",0,IFERROR(INDEX($J$23:$J$37,MATCH($F38,$C$23:$C$37,0)),0)),IF($G38="",0,IFERROR(INDEX($J$23:$J$37,MATCH($G38,$C$23:$C$37,0)),0)),IF($H38="",0,IFERROR(INDEX($J$23:$J$37,MATCH($H38,$C$23:$C$37,0)),0))))</f>
        <v/>
      </c>
      <c r="J38" s="16">
        <f>IF($C38="","",I38+N(E38))</f>
        <v/>
      </c>
      <c r="K38" s="16">
        <f>IF($C38="","",L38-N(E38))</f>
        <v/>
      </c>
      <c r="L38" s="16">
        <f>IF($C38="","",MAX($J$23:$J$38))</f>
        <v/>
      </c>
      <c r="M38" s="16">
        <f>IF($C38="","",K38-I38)</f>
        <v/>
      </c>
      <c r="N38" s="16">
        <f>IF($C38="","",IF(M38=0,"Sim","Não"))</f>
        <v/>
      </c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7" t="inlineStr">
        <is>
          <t>Duração total do projeto (caminho crítico):</t>
        </is>
      </c>
      <c r="C40" s="1" t="n"/>
      <c r="D40" s="1" t="n"/>
      <c r="E40" s="1" t="n"/>
      <c r="F40" s="1" t="n"/>
      <c r="G40" s="1" t="n"/>
      <c r="H40" s="18">
        <f>MAX($J$23:$J$38)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 ht="26" customHeight="1">
      <c r="A42" s="1" t="n"/>
      <c r="B42" s="7" t="inlineStr">
        <is>
          <t>🗂️ Histórico de versões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 ht="30" customHeight="1">
      <c r="A43" s="1" t="n"/>
      <c r="B43" s="13" t="inlineStr">
        <is>
          <t>Versão</t>
        </is>
      </c>
      <c r="C43" s="19" t="n"/>
      <c r="D43" s="13" t="inlineStr">
        <is>
          <t>Data</t>
        </is>
      </c>
      <c r="E43" s="13" t="inlineStr">
        <is>
          <t>Autoria</t>
        </is>
      </c>
      <c r="F43" s="13" t="inlineStr">
        <is>
          <t>O que mudou</t>
        </is>
      </c>
      <c r="G43" s="19" t="n"/>
      <c r="H43" s="19" t="n"/>
      <c r="I43" s="19" t="n"/>
      <c r="J43" s="19" t="n"/>
      <c r="K43" s="19" t="n"/>
      <c r="L43" s="19" t="n"/>
      <c r="M43" s="19" t="n"/>
      <c r="N43" s="19" t="n"/>
      <c r="O43" s="1" t="n"/>
      <c r="P43" s="1" t="n"/>
      <c r="Q43" s="1" t="n"/>
      <c r="R43" s="1" t="n"/>
      <c r="S43" s="1" t="n"/>
      <c r="T43" s="1" t="n"/>
    </row>
    <row r="44" ht="18" customHeight="1">
      <c r="A44" s="1" t="n"/>
      <c r="B44" s="10" t="n"/>
      <c r="C44" s="9" t="n"/>
      <c r="D44" s="10" t="n"/>
      <c r="E44" s="10" t="n"/>
      <c r="F44" s="10" t="n"/>
      <c r="G44" s="9" t="n"/>
      <c r="H44" s="9" t="n"/>
      <c r="I44" s="9" t="n"/>
      <c r="J44" s="9" t="n"/>
      <c r="K44" s="9" t="n"/>
      <c r="L44" s="9" t="n"/>
      <c r="M44" s="9" t="n"/>
      <c r="N44" s="9" t="n"/>
      <c r="O44" s="1" t="n"/>
      <c r="P44" s="1" t="n"/>
      <c r="Q44" s="1" t="n"/>
      <c r="R44" s="1" t="n"/>
      <c r="S44" s="1" t="n"/>
      <c r="T44" s="1" t="n"/>
    </row>
    <row r="45" ht="18" customHeight="1">
      <c r="A45" s="1" t="n"/>
      <c r="B45" s="10" t="n"/>
      <c r="C45" s="9" t="n"/>
      <c r="D45" s="10" t="n"/>
      <c r="E45" s="10" t="n"/>
      <c r="F45" s="10" t="n"/>
      <c r="G45" s="9" t="n"/>
      <c r="H45" s="9" t="n"/>
      <c r="I45" s="9" t="n"/>
      <c r="J45" s="9" t="n"/>
      <c r="K45" s="9" t="n"/>
      <c r="L45" s="9" t="n"/>
      <c r="M45" s="9" t="n"/>
      <c r="N45" s="9" t="n"/>
      <c r="O45" s="1" t="n"/>
      <c r="P45" s="1" t="n"/>
      <c r="Q45" s="1" t="n"/>
      <c r="R45" s="1" t="n"/>
      <c r="S45" s="1" t="n"/>
      <c r="T45" s="1" t="n"/>
    </row>
    <row r="46" ht="18" customHeight="1">
      <c r="A46" s="1" t="n"/>
      <c r="B46" s="10" t="n"/>
      <c r="C46" s="9" t="n"/>
      <c r="D46" s="10" t="n"/>
      <c r="E46" s="10" t="n"/>
      <c r="F46" s="10" t="n"/>
      <c r="G46" s="9" t="n"/>
      <c r="H46" s="9" t="n"/>
      <c r="I46" s="9" t="n"/>
      <c r="J46" s="9" t="n"/>
      <c r="K46" s="9" t="n"/>
      <c r="L46" s="9" t="n"/>
      <c r="M46" s="9" t="n"/>
      <c r="N46" s="9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</row>
  </sheetData>
  <mergeCells count="32">
    <mergeCell ref="B11:D11"/>
    <mergeCell ref="E11:N11"/>
    <mergeCell ref="B16:C16"/>
    <mergeCell ref="B14:D14"/>
    <mergeCell ref="B9:N9"/>
    <mergeCell ref="F45:N45"/>
    <mergeCell ref="B46:C46"/>
    <mergeCell ref="B13:D13"/>
    <mergeCell ref="B6:N6"/>
    <mergeCell ref="B20:N20"/>
    <mergeCell ref="B43:C43"/>
    <mergeCell ref="B10:D10"/>
    <mergeCell ref="B5:N5"/>
    <mergeCell ref="B4:N4"/>
    <mergeCell ref="E12:N12"/>
    <mergeCell ref="F46:N46"/>
    <mergeCell ref="B40:G40"/>
    <mergeCell ref="B7:N7"/>
    <mergeCell ref="B17:C17"/>
    <mergeCell ref="B3:N3"/>
    <mergeCell ref="F43:N43"/>
    <mergeCell ref="D17:N17"/>
    <mergeCell ref="E14:N14"/>
    <mergeCell ref="B44:C44"/>
    <mergeCell ref="D16:N16"/>
    <mergeCell ref="F44:N44"/>
    <mergeCell ref="E10:N10"/>
    <mergeCell ref="B42:N42"/>
    <mergeCell ref="E13:N13"/>
    <mergeCell ref="B45:C45"/>
    <mergeCell ref="B12:D12"/>
    <mergeCell ref="B19:N19"/>
  </mergeCells>
  <conditionalFormatting sqref="B23:N38">
    <cfRule type="expression" priority="1" dxfId="0">
      <formula>$N23="Sim"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20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21" t="inlineStr">
        <is>
          <t>Diagrama de Rede · manual completo: manual 18_diagrama_de_rede.pdf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22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22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22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22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22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22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3" t="inlineStr">
        <is>
          <t>Seção</t>
        </is>
      </c>
      <c r="C13" s="23" t="inlineStr">
        <is>
          <t>Campo / coluna</t>
        </is>
      </c>
      <c r="D13" s="23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4" t="inlineStr">
        <is>
          <t>Identificação</t>
        </is>
      </c>
      <c r="C14" s="25" t="inlineStr">
        <is>
          <t>Código do projeto</t>
        </is>
      </c>
      <c r="D14" s="24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4" t="inlineStr">
        <is>
          <t>Identificação</t>
        </is>
      </c>
      <c r="C15" s="25" t="inlineStr">
        <is>
          <t>Gerente do projeto</t>
        </is>
      </c>
      <c r="D15" s="24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4" t="inlineStr">
        <is>
          <t>Identificação</t>
        </is>
      </c>
      <c r="C16" s="25" t="inlineStr">
        <is>
          <t>Versão do documento</t>
        </is>
      </c>
      <c r="D16" s="24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4" t="inlineStr">
        <is>
          <t>Identificação</t>
        </is>
      </c>
      <c r="C17" s="25" t="inlineStr">
        <is>
          <t>Data</t>
        </is>
      </c>
      <c r="D17" s="24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4" t="inlineStr">
        <is>
          <t>Rede de atividades</t>
        </is>
      </c>
      <c r="C18" s="25" t="inlineStr">
        <is>
          <t>Código</t>
        </is>
      </c>
      <c r="D18" s="24" t="inlineStr">
        <is>
          <t>EAP (ex.: 1.1)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4" t="inlineStr">
        <is>
          <t>Rede de atividades</t>
        </is>
      </c>
      <c r="C19" s="25" t="inlineStr">
        <is>
          <t>Duração</t>
        </is>
      </c>
      <c r="D19" s="24" t="inlineStr">
        <is>
          <t>dias ou semanas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4" t="inlineStr">
        <is>
          <t>Rede de atividades</t>
        </is>
      </c>
      <c r="C20" s="25" t="inlineStr">
        <is>
          <t>Pred. 1</t>
        </is>
      </c>
      <c r="D20" s="24" t="inlineStr">
        <is>
          <t>código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4" t="inlineStr">
        <is>
          <t>Rede de atividades</t>
        </is>
      </c>
      <c r="C21" s="25" t="inlineStr">
        <is>
          <t>Pred. 2</t>
        </is>
      </c>
      <c r="D21" s="24" t="inlineStr">
        <is>
          <t>código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24" t="inlineStr">
        <is>
          <t>Rede de atividades</t>
        </is>
      </c>
      <c r="C22" s="25" t="inlineStr">
        <is>
          <t>Pred. 3</t>
        </is>
      </c>
      <c r="D22" s="24" t="inlineStr">
        <is>
          <t>código</t>
        </is>
      </c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Diagrama de Rede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